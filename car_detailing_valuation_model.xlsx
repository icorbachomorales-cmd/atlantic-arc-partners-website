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 Projections" sheetId="2" state="visible" r:id="rId2"/>
    <sheet name="Operating Expenses" sheetId="3" state="visible" r:id="rId3"/>
    <sheet name="P&amp;L Summary" sheetId="4" state="visible" r:id="rId4"/>
    <sheet name="Valuation" sheetId="5" state="visible" r:id="rId5"/>
    <sheet name="Scenario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x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70C0"/>
    </font>
    <font>
      <color rgb="0000800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8F4F8"/>
        <bgColor rgb="00E8F4F8"/>
      </patternFill>
    </fill>
    <fill>
      <patternFill patternType="solid">
        <fgColor rgb="00F0F0F0"/>
        <bgColor rgb="00F0F0F0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1" pivotButton="0" quotePrefix="0" xfId="0"/>
    <xf numFmtId="0" fontId="4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  <xf numFmtId="3" fontId="0" fillId="0" borderId="1" pivotButton="0" quotePrefix="0" xfId="0"/>
    <xf numFmtId="164" fontId="2" fillId="3" borderId="1" pivotButton="0" quotePrefix="0" xfId="0"/>
    <xf numFmtId="164" fontId="2" fillId="4" borderId="1" pivotButton="0" quotePrefix="0" xfId="0"/>
    <xf numFmtId="164" fontId="2" fillId="0" borderId="1" pivotButton="0" quotePrefix="0" xfId="0"/>
    <xf numFmtId="164" fontId="2" fillId="5" borderId="1" pivotButton="0" quotePrefix="0" xfId="0"/>
    <xf numFmtId="0" fontId="2" fillId="2" borderId="1" pivotButton="0" quotePrefix="0" xfId="0"/>
    <xf numFmtId="164" fontId="2" fillId="6" borderId="1" pivotButton="0" quotePrefix="0" xfId="0"/>
    <xf numFmtId="164" fontId="4" fillId="0" borderId="1" pivotButton="0" quotePrefix="0" xfId="0"/>
    <xf numFmtId="164" fontId="5" fillId="7" borderId="1" pivotButton="0" quotePrefix="0" xfId="0"/>
    <xf numFmtId="166" fontId="3" fillId="0" borderId="0" pivotButton="0" quotePrefix="0" xfId="0"/>
    <xf numFmtId="0" fontId="2" fillId="0" borderId="0" pivotButton="0" quotePrefix="0" xfId="0"/>
    <xf numFmtId="164" fontId="5" fillId="8" borderId="1" pivotButton="0" quotePrefix="0" xfId="0"/>
    <xf numFmtId="165" fontId="2" fillId="3" borderId="1" pivotButton="0" quotePrefix="0" xfId="0"/>
    <xf numFmtId="0" fontId="0" fillId="9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CAR DETAILING STARTUP - ASSUMPTIONS &amp; INPUTS</t>
        </is>
      </c>
    </row>
    <row r="3">
      <c r="A3" s="2" t="inlineStr">
        <is>
          <t>UNIT ECONOMICS</t>
        </is>
      </c>
      <c r="B3" s="2" t="inlineStr">
        <is>
          <t>Value</t>
        </is>
      </c>
    </row>
    <row r="4">
      <c r="A4" s="3" t="inlineStr">
        <is>
          <t>Average Revenue Per Detail (ARPD)</t>
        </is>
      </c>
      <c r="B4" s="4" t="n">
        <v>150</v>
      </c>
    </row>
    <row r="5">
      <c r="A5" s="3" t="inlineStr">
        <is>
          <t>Cost of Materials &amp; Supplies per Job</t>
        </is>
      </c>
      <c r="B5" s="4" t="n">
        <v>25</v>
      </c>
    </row>
    <row r="6">
      <c r="A6" s="3" t="inlineStr">
        <is>
          <t>Labor Cost per Job</t>
        </is>
      </c>
      <c r="B6" s="4" t="n">
        <v>35</v>
      </c>
    </row>
    <row r="7">
      <c r="A7" s="5" t="inlineStr">
        <is>
          <t>Gross Margin per Job</t>
        </is>
      </c>
      <c r="B7" s="6">
        <f>B4-B5-B6</f>
        <v/>
      </c>
    </row>
    <row r="8">
      <c r="A8" s="5" t="inlineStr">
        <is>
          <t>Gross Margin %</t>
        </is>
      </c>
      <c r="B8" s="7">
        <f>B7/B4</f>
        <v/>
      </c>
    </row>
    <row r="10">
      <c r="A10" s="2" t="inlineStr">
        <is>
          <t>GROWTH ASSUMPTIONS (MONTHLY)</t>
        </is>
      </c>
      <c r="B10" s="2" t="inlineStr">
        <is>
          <t>Value</t>
        </is>
      </c>
    </row>
    <row r="11">
      <c r="A11" s="3" t="inlineStr">
        <is>
          <t>Month 1: Jobs per Day</t>
        </is>
      </c>
      <c r="B11" s="8" t="n">
        <v>5</v>
      </c>
    </row>
    <row r="12">
      <c r="A12" s="3" t="inlineStr">
        <is>
          <t>Operating Days per Month</t>
        </is>
      </c>
      <c r="B12" s="8" t="n">
        <v>20</v>
      </c>
    </row>
    <row r="13">
      <c r="A13" s="3" t="inlineStr">
        <is>
          <t>Monthly Job Growth Rate</t>
        </is>
      </c>
      <c r="B13" s="9" t="n">
        <v>0.08</v>
      </c>
    </row>
    <row r="14">
      <c r="A14" s="3" t="inlineStr">
        <is>
          <t>Projection Period (Years)</t>
        </is>
      </c>
      <c r="B14" s="8" t="n">
        <v>5</v>
      </c>
    </row>
    <row r="16">
      <c r="A16" s="2" t="inlineStr">
        <is>
          <t>ANNUAL PRICING &amp; VOLUME</t>
        </is>
      </c>
      <c r="B16" s="2" t="inlineStr">
        <is>
          <t>Value</t>
        </is>
      </c>
    </row>
    <row r="17">
      <c r="A17" s="3" t="inlineStr">
        <is>
          <t>Annual Price Increase %</t>
        </is>
      </c>
      <c r="B17" s="9" t="n">
        <v>0.05</v>
      </c>
    </row>
    <row r="18">
      <c r="A18" s="3" t="inlineStr">
        <is>
          <t>Year 2+ Location Expansion (# locations)</t>
        </is>
      </c>
      <c r="B18" s="8" t="n">
        <v>0</v>
      </c>
    </row>
    <row r="20">
      <c r="A20" s="2" t="inlineStr">
        <is>
          <t>OPERATING COSTS (ANNUAL)</t>
        </is>
      </c>
      <c r="B20" s="2" t="inlineStr">
        <is>
          <t>Value</t>
        </is>
      </c>
    </row>
    <row r="21">
      <c r="A21" s="3" t="inlineStr">
        <is>
          <t>Rent (per location, annual)</t>
        </is>
      </c>
      <c r="B21" s="4" t="n">
        <v>24000</v>
      </c>
    </row>
    <row r="22">
      <c r="A22" s="3" t="inlineStr">
        <is>
          <t>Utilities &amp; Insurance (per location)</t>
        </is>
      </c>
      <c r="B22" s="4" t="n">
        <v>6000</v>
      </c>
    </row>
    <row r="23">
      <c r="A23" s="3" t="inlineStr">
        <is>
          <t>Management Salary (Owner)</t>
        </is>
      </c>
      <c r="B23" s="4" t="n">
        <v>50000</v>
      </c>
    </row>
    <row r="24">
      <c r="A24" s="3" t="inlineStr">
        <is>
          <t>Marketing &amp; Customer Acquisition</t>
        </is>
      </c>
      <c r="B24" s="4" t="n">
        <v>12000</v>
      </c>
    </row>
    <row r="25">
      <c r="A25" s="3" t="inlineStr">
        <is>
          <t>Equipment &amp; Supplies (initial + maintenance)</t>
        </is>
      </c>
      <c r="B25" s="4" t="n">
        <v>8000</v>
      </c>
    </row>
    <row r="27">
      <c r="A27" s="2" t="inlineStr">
        <is>
          <t>FINANCING &amp; DISCOUNT RATE</t>
        </is>
      </c>
      <c r="B27" s="2" t="inlineStr">
        <is>
          <t>Value</t>
        </is>
      </c>
    </row>
    <row r="28">
      <c r="A28" s="3" t="inlineStr">
        <is>
          <t>Initial Capital Required</t>
        </is>
      </c>
      <c r="B28" s="4" t="n">
        <v>50000</v>
      </c>
    </row>
    <row r="29">
      <c r="A29" s="3" t="inlineStr">
        <is>
          <t>DCF Discount Rate (WACC)</t>
        </is>
      </c>
      <c r="B29" s="9" t="n">
        <v>0.1</v>
      </c>
    </row>
    <row r="30">
      <c r="A30" s="3" t="inlineStr">
        <is>
          <t>Terminal Growth Rate</t>
        </is>
      </c>
      <c r="B30" s="9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REVENUE PROJECTIONS</t>
        </is>
      </c>
    </row>
    <row r="3">
      <c r="A3" s="2" t="inlineStr">
        <is>
          <t>Year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# of Locations</t>
        </is>
      </c>
      <c r="B4" s="11" t="n">
        <v>1</v>
      </c>
      <c r="C4" s="11" t="n">
        <v>1</v>
      </c>
      <c r="D4" s="11" t="n">
        <v>1</v>
      </c>
      <c r="E4" s="11" t="n">
        <v>1</v>
      </c>
      <c r="F4" s="11" t="n">
        <v>1</v>
      </c>
    </row>
    <row r="5">
      <c r="A5" t="inlineStr">
        <is>
          <t>Jobs per Day (per location, YE)</t>
        </is>
      </c>
      <c r="B5" s="11">
        <f>Assumptions!$B$11*(1+Assumptions!$B$13)^11</f>
        <v/>
      </c>
      <c r="C5" s="11">
        <f>B5*(1+Assumptions!$B$13)^12</f>
        <v/>
      </c>
      <c r="D5" s="11">
        <f>C5*(1+Assumptions!$B$13)^12</f>
        <v/>
      </c>
      <c r="E5" s="11">
        <f>D5*(1+Assumptions!$B$13)^12</f>
        <v/>
      </c>
      <c r="F5" s="11">
        <f>E5*(1+Assumptions!$B$13)^12</f>
        <v/>
      </c>
    </row>
    <row r="6">
      <c r="A6" t="inlineStr">
        <is>
          <t>Avg Jobs per Day (during year)</t>
        </is>
      </c>
      <c r="B6" s="11">
        <f>(Assumptions!$B$11 + B5) / 2</f>
        <v/>
      </c>
      <c r="C6" s="11">
        <f>(B5 + C5) / 2</f>
        <v/>
      </c>
      <c r="D6" s="11">
        <f>(C5 + D5) / 2</f>
        <v/>
      </c>
      <c r="E6" s="11">
        <f>(D5 + E5) / 2</f>
        <v/>
      </c>
      <c r="F6" s="11">
        <f>(E5 + F5) / 2</f>
        <v/>
      </c>
    </row>
    <row r="7">
      <c r="A7" t="inlineStr">
        <is>
          <t>Operating Days per Year</t>
        </is>
      </c>
      <c r="B7" s="11">
        <f>$B$7</f>
        <v/>
      </c>
      <c r="C7" s="11">
        <f>$B$7</f>
        <v/>
      </c>
      <c r="D7" s="11">
        <f>$B$7</f>
        <v/>
      </c>
      <c r="E7" s="11">
        <f>$B$7</f>
        <v/>
      </c>
      <c r="F7" s="11">
        <f>$B$7</f>
        <v/>
      </c>
    </row>
    <row r="8">
      <c r="A8" t="inlineStr">
        <is>
          <t>Total Jobs per Year</t>
        </is>
      </c>
      <c r="B8" s="11">
        <f>B4*B6*B7</f>
        <v/>
      </c>
      <c r="C8" s="11">
        <f>C4*C6*C7</f>
        <v/>
      </c>
      <c r="D8" s="11">
        <f>D4*D6*D7</f>
        <v/>
      </c>
      <c r="E8" s="11">
        <f>E4*E6*E7</f>
        <v/>
      </c>
      <c r="F8" s="11">
        <f>F4*F6*F7</f>
        <v/>
      </c>
    </row>
    <row r="9">
      <c r="A9" t="inlineStr">
        <is>
          <t>ARPD</t>
        </is>
      </c>
      <c r="B9" s="6">
        <f>Assumptions!$B$4</f>
        <v/>
      </c>
      <c r="C9" s="6">
        <f>B9*(1+Assumptions!$B$17)</f>
        <v/>
      </c>
      <c r="D9" s="6">
        <f>C9*(1+Assumptions!$B$17)</f>
        <v/>
      </c>
      <c r="E9" s="6">
        <f>D9*(1+Assumptions!$B$17)</f>
        <v/>
      </c>
      <c r="F9" s="6">
        <f>E9*(1+Assumptions!$B$17)</f>
        <v/>
      </c>
    </row>
    <row r="10">
      <c r="A10" t="inlineStr">
        <is>
          <t>Total Revenue</t>
        </is>
      </c>
      <c r="B10" s="12">
        <f>B8*B9</f>
        <v/>
      </c>
      <c r="C10" s="12">
        <f>C8*C9</f>
        <v/>
      </c>
      <c r="D10" s="12">
        <f>D8*D9</f>
        <v/>
      </c>
      <c r="E10" s="12">
        <f>E8*E9</f>
        <v/>
      </c>
      <c r="F10" s="12">
        <f>F8*F9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OPERATING EXPENSES</t>
        </is>
      </c>
    </row>
    <row r="3">
      <c r="A3" s="2" t="inlineStr">
        <is>
          <t>Year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s="2" t="inlineStr">
        <is>
          <t>COGS - VARIABLE</t>
        </is>
      </c>
    </row>
    <row r="5">
      <c r="A5" t="inlineStr">
        <is>
          <t>Materials &amp; Supplies Cost</t>
        </is>
      </c>
      <c r="B5" s="6">
        <f>'Revenue Projections'!B8*Assumptions!$B$5</f>
        <v/>
      </c>
      <c r="C5" s="6">
        <f>'Revenue Projections'!C8*Assumptions!$B$5</f>
        <v/>
      </c>
      <c r="D5" s="6">
        <f>'Revenue Projections'!D8*Assumptions!$B$5</f>
        <v/>
      </c>
      <c r="E5" s="6">
        <f>'Revenue Projections'!E8*Assumptions!$B$5</f>
        <v/>
      </c>
      <c r="F5" s="6">
        <f>'Revenue Projections'!F8*Assumptions!$B$5</f>
        <v/>
      </c>
    </row>
    <row r="6">
      <c r="A6" t="inlineStr">
        <is>
          <t>Labor Cost</t>
        </is>
      </c>
      <c r="B6" s="6">
        <f>'Revenue Projections'!B8*Assumptions!$B$6</f>
        <v/>
      </c>
      <c r="C6" s="6">
        <f>'Revenue Projections'!C8*Assumptions!$B$6</f>
        <v/>
      </c>
      <c r="D6" s="6">
        <f>'Revenue Projections'!D8*Assumptions!$B$6</f>
        <v/>
      </c>
      <c r="E6" s="6">
        <f>'Revenue Projections'!E8*Assumptions!$B$6</f>
        <v/>
      </c>
      <c r="F6" s="6">
        <f>'Revenue Projections'!F8*Assumptions!$B$6</f>
        <v/>
      </c>
    </row>
    <row r="7">
      <c r="A7" t="inlineStr">
        <is>
          <t>Total COGS</t>
        </is>
      </c>
      <c r="B7" s="13">
        <f>B5+B6</f>
        <v/>
      </c>
      <c r="C7" s="13">
        <f>C5+C6</f>
        <v/>
      </c>
      <c r="D7" s="13">
        <f>D5+D6</f>
        <v/>
      </c>
      <c r="E7" s="13">
        <f>E5+E6</f>
        <v/>
      </c>
      <c r="F7" s="13">
        <f>F5+F6</f>
        <v/>
      </c>
    </row>
    <row r="9">
      <c r="A9" s="2" t="inlineStr">
        <is>
          <t>FIXED OPERATING EXPENSES</t>
        </is>
      </c>
    </row>
    <row r="10">
      <c r="A10" t="inlineStr">
        <is>
          <t>Rent (per location)</t>
        </is>
      </c>
      <c r="B10" s="6">
        <f>'Revenue Projections'!B4*Assumptions!$B$21</f>
        <v/>
      </c>
      <c r="C10" s="6">
        <f>'Revenue Projections'!C4*Assumptions!$B$21</f>
        <v/>
      </c>
      <c r="D10" s="6">
        <f>'Revenue Projections'!D4*Assumptions!$B$21</f>
        <v/>
      </c>
      <c r="E10" s="6">
        <f>'Revenue Projections'!E4*Assumptions!$B$21</f>
        <v/>
      </c>
      <c r="F10" s="6">
        <f>'Revenue Projections'!F4*Assumptions!$B$21</f>
        <v/>
      </c>
    </row>
    <row r="11">
      <c r="A11" t="inlineStr">
        <is>
          <t>Utilities &amp; Insurance</t>
        </is>
      </c>
      <c r="B11" s="6">
        <f>'Revenue Projections'!B4*Assumptions!$B$22</f>
        <v/>
      </c>
      <c r="C11" s="6">
        <f>'Revenue Projections'!C4*Assumptions!$B$22</f>
        <v/>
      </c>
      <c r="D11" s="6">
        <f>'Revenue Projections'!D4*Assumptions!$B$22</f>
        <v/>
      </c>
      <c r="E11" s="6">
        <f>'Revenue Projections'!E4*Assumptions!$B$22</f>
        <v/>
      </c>
      <c r="F11" s="6">
        <f>'Revenue Projections'!F4*Assumptions!$B$22</f>
        <v/>
      </c>
    </row>
    <row r="12">
      <c r="A12" t="inlineStr">
        <is>
          <t>Management Salary</t>
        </is>
      </c>
      <c r="B12" s="6">
        <f>Assumptions!$B$23</f>
        <v/>
      </c>
      <c r="C12" s="6">
        <f>Assumptions!$B$23</f>
        <v/>
      </c>
      <c r="D12" s="6">
        <f>Assumptions!$B$23</f>
        <v/>
      </c>
      <c r="E12" s="6">
        <f>Assumptions!$B$23</f>
        <v/>
      </c>
      <c r="F12" s="6">
        <f>Assumptions!$B$23</f>
        <v/>
      </c>
    </row>
    <row r="13">
      <c r="A13" t="inlineStr">
        <is>
          <t>Marketing &amp; Customer Acquisition</t>
        </is>
      </c>
      <c r="B13" s="6">
        <f>Assumptions!$B$24</f>
        <v/>
      </c>
      <c r="C13" s="6">
        <f>Assumptions!$B$24</f>
        <v/>
      </c>
      <c r="D13" s="6">
        <f>Assumptions!$B$24</f>
        <v/>
      </c>
      <c r="E13" s="6">
        <f>Assumptions!$B$24</f>
        <v/>
      </c>
      <c r="F13" s="6">
        <f>Assumptions!$B$24</f>
        <v/>
      </c>
    </row>
    <row r="14">
      <c r="A14" t="inlineStr">
        <is>
          <t>Equipment &amp; Supplies</t>
        </is>
      </c>
      <c r="B14" s="6">
        <f>Assumptions!$B$25</f>
        <v/>
      </c>
      <c r="C14" s="6">
        <f>Assumptions!$B$25</f>
        <v/>
      </c>
      <c r="D14" s="6">
        <f>Assumptions!$B$25</f>
        <v/>
      </c>
      <c r="E14" s="6">
        <f>Assumptions!$B$25</f>
        <v/>
      </c>
      <c r="F14" s="6">
        <f>Assumptions!$B$25</f>
        <v/>
      </c>
    </row>
    <row r="15">
      <c r="A15" t="inlineStr">
        <is>
          <t>Total Fixed Operating Expenses</t>
        </is>
      </c>
      <c r="B15" s="13">
        <f>B10+B11+B12+B13+B14</f>
        <v/>
      </c>
      <c r="C15" s="13">
        <f>C10+C11+C12+C13+C14</f>
        <v/>
      </c>
      <c r="D15" s="13">
        <f>D10+D11+D12+D13+D14</f>
        <v/>
      </c>
      <c r="E15" s="13">
        <f>E10+E11+E12+E13+E14</f>
        <v/>
      </c>
      <c r="F15" s="13">
        <f>F10+F11+F12+F13+F14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PROFIT &amp; LOSS SUMMARY</t>
        </is>
      </c>
    </row>
    <row r="3">
      <c r="A3" s="2" t="inlineStr">
        <is>
          <t>Year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Revenue</t>
        </is>
      </c>
      <c r="B4" s="12">
        <f>'Revenue Projections'!B10</f>
        <v/>
      </c>
      <c r="C4" s="12">
        <f>'Revenue Projections'!C10</f>
        <v/>
      </c>
      <c r="D4" s="12">
        <f>'Revenue Projections'!D10</f>
        <v/>
      </c>
      <c r="E4" s="12">
        <f>'Revenue Projections'!E10</f>
        <v/>
      </c>
      <c r="F4" s="12">
        <f>'Revenue Projections'!F10</f>
        <v/>
      </c>
    </row>
    <row r="5">
      <c r="A5" t="inlineStr">
        <is>
          <t>Cost of Goods Sold</t>
        </is>
      </c>
      <c r="B5" s="6">
        <f>'Operating Expenses'!B7</f>
        <v/>
      </c>
      <c r="C5" s="6">
        <f>'Operating Expenses'!C7</f>
        <v/>
      </c>
      <c r="D5" s="6">
        <f>'Operating Expenses'!D7</f>
        <v/>
      </c>
      <c r="E5" s="6">
        <f>'Operating Expenses'!E7</f>
        <v/>
      </c>
      <c r="F5" s="6">
        <f>'Operating Expenses'!F7</f>
        <v/>
      </c>
    </row>
    <row r="6">
      <c r="A6" t="inlineStr">
        <is>
          <t>Gross Profit</t>
        </is>
      </c>
      <c r="B6" s="14">
        <f>B4-B5</f>
        <v/>
      </c>
      <c r="C6" s="14">
        <f>C4-C5</f>
        <v/>
      </c>
      <c r="D6" s="14">
        <f>D4-D5</f>
        <v/>
      </c>
      <c r="E6" s="14">
        <f>E4-E5</f>
        <v/>
      </c>
      <c r="F6" s="14">
        <f>F4-F5</f>
        <v/>
      </c>
    </row>
    <row r="7">
      <c r="A7" t="inlineStr">
        <is>
          <t>Gross Margin %</t>
        </is>
      </c>
      <c r="B7" s="7">
        <f>B6/B4</f>
        <v/>
      </c>
      <c r="C7" s="7">
        <f>C6/C4</f>
        <v/>
      </c>
      <c r="D7" s="7">
        <f>D6/D4</f>
        <v/>
      </c>
      <c r="E7" s="7">
        <f>E6/E4</f>
        <v/>
      </c>
      <c r="F7" s="7">
        <f>F6/F4</f>
        <v/>
      </c>
    </row>
    <row r="9">
      <c r="A9" t="inlineStr">
        <is>
          <t>Operating Expenses</t>
        </is>
      </c>
      <c r="B9" s="6">
        <f>'Operating Expenses'!B15</f>
        <v/>
      </c>
      <c r="C9" s="6">
        <f>'Operating Expenses'!C15</f>
        <v/>
      </c>
      <c r="D9" s="6">
        <f>'Operating Expenses'!D15</f>
        <v/>
      </c>
      <c r="E9" s="6">
        <f>'Operating Expenses'!E15</f>
        <v/>
      </c>
      <c r="F9" s="6">
        <f>'Operating Expenses'!F15</f>
        <v/>
      </c>
    </row>
    <row r="10">
      <c r="A10" t="inlineStr">
        <is>
          <t>EBITDA</t>
        </is>
      </c>
      <c r="B10" s="15">
        <f>B6-B9</f>
        <v/>
      </c>
      <c r="C10" s="15">
        <f>C6-C9</f>
        <v/>
      </c>
      <c r="D10" s="15">
        <f>D6-D9</f>
        <v/>
      </c>
      <c r="E10" s="15">
        <f>E6-E9</f>
        <v/>
      </c>
      <c r="F10" s="15">
        <f>F6-F9</f>
        <v/>
      </c>
    </row>
    <row r="11">
      <c r="A11" t="inlineStr">
        <is>
          <t>EBITDA Margin %</t>
        </is>
      </c>
      <c r="B11" s="7">
        <f>B10/B4</f>
        <v/>
      </c>
      <c r="C11" s="7">
        <f>C10/C4</f>
        <v/>
      </c>
      <c r="D11" s="7">
        <f>D10/D4</f>
        <v/>
      </c>
      <c r="E11" s="7">
        <f>E10/E4</f>
        <v/>
      </c>
      <c r="F11" s="7">
        <f>F10/F4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0" t="inlineStr">
        <is>
          <t>ENTERPRISE VALUATION</t>
        </is>
      </c>
    </row>
    <row r="3">
      <c r="A3" s="2" t="inlineStr">
        <is>
          <t>DISCOUNTED CASH FLOW (DCF)</t>
        </is>
      </c>
      <c r="B3" s="2" t="inlineStr"/>
    </row>
    <row r="5">
      <c r="A5" t="inlineStr">
        <is>
          <t>Year</t>
        </is>
      </c>
      <c r="B5" s="16" t="inlineStr">
        <is>
          <t>1</t>
        </is>
      </c>
      <c r="C5" s="16" t="inlineStr">
        <is>
          <t>2</t>
        </is>
      </c>
      <c r="D5" s="16" t="inlineStr">
        <is>
          <t>3</t>
        </is>
      </c>
      <c r="E5" s="16" t="inlineStr">
        <is>
          <t>4</t>
        </is>
      </c>
      <c r="F5" s="16" t="inlineStr">
        <is>
          <t>5</t>
        </is>
      </c>
    </row>
    <row r="6">
      <c r="A6" t="inlineStr">
        <is>
          <t>EBITDA</t>
        </is>
      </c>
      <c r="B6" s="6">
        <f>'P&amp;L Summary'!B10</f>
        <v/>
      </c>
      <c r="C6" s="6">
        <f>'P&amp;L Summary'!C10</f>
        <v/>
      </c>
      <c r="D6" s="6">
        <f>'P&amp;L Summary'!D10</f>
        <v/>
      </c>
      <c r="E6" s="6">
        <f>'P&amp;L Summary'!E10</f>
        <v/>
      </c>
      <c r="F6" s="6">
        <f>'P&amp;L Summary'!F10</f>
        <v/>
      </c>
    </row>
    <row r="7">
      <c r="A7" t="inlineStr">
        <is>
          <t>Less: Taxes (25%)</t>
        </is>
      </c>
      <c r="B7" s="6">
        <f>B6*0.25</f>
        <v/>
      </c>
      <c r="C7" s="6">
        <f>C6*0.25</f>
        <v/>
      </c>
      <c r="D7" s="6">
        <f>D6*0.25</f>
        <v/>
      </c>
      <c r="E7" s="6">
        <f>E6*0.25</f>
        <v/>
      </c>
      <c r="F7" s="6">
        <f>F6*0.25</f>
        <v/>
      </c>
    </row>
    <row r="8">
      <c r="A8" t="inlineStr">
        <is>
          <t>NOPAT (Net Operating Profit)</t>
        </is>
      </c>
      <c r="B8" s="14">
        <f>B6-B7</f>
        <v/>
      </c>
      <c r="C8" s="14">
        <f>C6-C7</f>
        <v/>
      </c>
      <c r="D8" s="14">
        <f>D6-D7</f>
        <v/>
      </c>
      <c r="E8" s="14">
        <f>E6-E7</f>
        <v/>
      </c>
      <c r="F8" s="14">
        <f>F6-F7</f>
        <v/>
      </c>
    </row>
    <row r="9">
      <c r="A9" t="inlineStr">
        <is>
          <t>Discount Factor</t>
        </is>
      </c>
      <c r="B9" s="7">
        <f>1/(1+Assumptions!$B$29)^1</f>
        <v/>
      </c>
      <c r="C9" s="7">
        <f>1/(1+Assumptions!$B$29)^2</f>
        <v/>
      </c>
      <c r="D9" s="7">
        <f>1/(1+Assumptions!$B$29)^3</f>
        <v/>
      </c>
      <c r="E9" s="7">
        <f>1/(1+Assumptions!$B$29)^4</f>
        <v/>
      </c>
      <c r="F9" s="7">
        <f>1/(1+Assumptions!$B$29)^5</f>
        <v/>
      </c>
    </row>
    <row r="10">
      <c r="A10" t="inlineStr">
        <is>
          <t>PV of Cash Flows</t>
        </is>
      </c>
      <c r="B10" s="14">
        <f>B8*B9</f>
        <v/>
      </c>
      <c r="C10" s="14">
        <f>C8*C9</f>
        <v/>
      </c>
      <c r="D10" s="14">
        <f>D8*D9</f>
        <v/>
      </c>
      <c r="E10" s="14">
        <f>E8*E9</f>
        <v/>
      </c>
      <c r="F10" s="14">
        <f>F8*F9</f>
        <v/>
      </c>
    </row>
    <row r="12">
      <c r="A12" t="inlineStr">
        <is>
          <t>Sum of PV (5 Years)</t>
        </is>
      </c>
      <c r="B12" s="17">
        <f>SUM(B10:F10)</f>
        <v/>
      </c>
    </row>
    <row r="13">
      <c r="A13" t="inlineStr">
        <is>
          <t>Terminal Value (NOPAT Year 5 * 8x EBITDA multiple)</t>
        </is>
      </c>
      <c r="B13" s="18">
        <f>F8*8</f>
        <v/>
      </c>
    </row>
    <row r="14">
      <c r="A14" t="inlineStr">
        <is>
          <t>PV of Terminal Value</t>
        </is>
      </c>
      <c r="B14" s="17">
        <f>B13*F9</f>
        <v/>
      </c>
    </row>
    <row r="16">
      <c r="A16" t="inlineStr">
        <is>
          <t>ENTERPRISE VALUE (DCF)</t>
        </is>
      </c>
      <c r="B16" s="19">
        <f>B12+B14</f>
        <v/>
      </c>
    </row>
    <row r="19">
      <c r="A19" s="2" t="inlineStr">
        <is>
          <t>MULTIPLE-BASED VALUATION</t>
        </is>
      </c>
      <c r="B19" s="2" t="inlineStr">
        <is>
          <t>Value</t>
        </is>
      </c>
    </row>
    <row r="20">
      <c r="A20" t="inlineStr">
        <is>
          <t>Year 5 Revenue</t>
        </is>
      </c>
      <c r="B20" s="6">
        <f>'P&amp;L Summary'!F4</f>
        <v/>
      </c>
    </row>
    <row r="21">
      <c r="A21" t="inlineStr">
        <is>
          <t>Revenue Multiple (3.5x)</t>
        </is>
      </c>
      <c r="B21" s="20" t="n">
        <v>3.5</v>
      </c>
    </row>
    <row r="22">
      <c r="A22" t="inlineStr">
        <is>
          <t>Valuation @ Revenue Multiple</t>
        </is>
      </c>
      <c r="B22" s="6">
        <f>B20*B21</f>
        <v/>
      </c>
    </row>
    <row r="24">
      <c r="A24" t="inlineStr">
        <is>
          <t>Year 5 EBITDA</t>
        </is>
      </c>
      <c r="B24" s="6">
        <f>'P&amp;L Summary'!F10</f>
        <v/>
      </c>
    </row>
    <row r="25">
      <c r="A25" t="inlineStr">
        <is>
          <t>EBITDA Multiple (6.0x)</t>
        </is>
      </c>
      <c r="B25" s="20" t="n">
        <v>6</v>
      </c>
    </row>
    <row r="26">
      <c r="A26" t="inlineStr">
        <is>
          <t>Valuation @ EBITDA Multiple</t>
        </is>
      </c>
      <c r="B26" s="6">
        <f>B24*B25</f>
        <v/>
      </c>
    </row>
    <row r="28">
      <c r="A28" s="21" t="inlineStr">
        <is>
          <t>VALUATION SUMMARY</t>
        </is>
      </c>
      <c r="B28" s="21" t="n"/>
    </row>
    <row r="29">
      <c r="A29" t="inlineStr">
        <is>
          <t>DCF Valuation</t>
        </is>
      </c>
      <c r="B29" s="14">
        <f>B16</f>
        <v/>
      </c>
    </row>
    <row r="30">
      <c r="A30" t="inlineStr">
        <is>
          <t>Revenue Multiple Valuation</t>
        </is>
      </c>
      <c r="B30" s="6">
        <f>B22</f>
        <v/>
      </c>
    </row>
    <row r="31">
      <c r="A31" t="inlineStr">
        <is>
          <t>EBITDA Multiple Valuation</t>
        </is>
      </c>
      <c r="B31" s="6">
        <f>B26</f>
        <v/>
      </c>
    </row>
    <row r="32">
      <c r="A32" t="inlineStr">
        <is>
          <t>Average Valuation</t>
        </is>
      </c>
      <c r="B32" s="22">
        <f>AVERAGE(B29:B31)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0" t="inlineStr">
        <is>
          <t>SCENARIO ANALYSIS - YEAR 5 PERFORMANCE</t>
        </is>
      </c>
    </row>
    <row r="3">
      <c r="A3" s="2" t="inlineStr">
        <is>
          <t>Scenario</t>
        </is>
      </c>
      <c r="B3" s="2" t="inlineStr">
        <is>
          <t>Monthly Growth</t>
        </is>
      </c>
      <c r="C3" s="2" t="inlineStr">
        <is>
          <t>Year 5 Revenue</t>
        </is>
      </c>
      <c r="D3" s="2" t="inlineStr">
        <is>
          <t>Year 5 EBITDA</t>
        </is>
      </c>
      <c r="E3" s="2" t="inlineStr">
        <is>
          <t>EBITDA Margin</t>
        </is>
      </c>
    </row>
    <row r="4">
      <c r="A4" t="inlineStr">
        <is>
          <t>BASE CASE</t>
        </is>
      </c>
      <c r="B4" s="23">
        <f>Assumptions!$B$13</f>
        <v/>
      </c>
      <c r="C4" s="12">
        <f>'P&amp;L Summary'!F4</f>
        <v/>
      </c>
      <c r="D4" s="12">
        <f>'P&amp;L Summary'!F10</f>
        <v/>
      </c>
      <c r="E4" s="12">
        <f>'P&amp;L Summary'!F11</f>
        <v/>
      </c>
    </row>
    <row r="5">
      <c r="A5" s="3" t="inlineStr">
        <is>
          <t>CONSERVATIVE</t>
        </is>
      </c>
      <c r="B5" s="9" t="n">
        <v>0.05</v>
      </c>
      <c r="C5" s="24" t="n"/>
      <c r="D5" s="24" t="n"/>
      <c r="E5" s="24" t="n"/>
    </row>
    <row r="6">
      <c r="A6" s="3" t="inlineStr">
        <is>
          <t>OPTIMISTIC</t>
        </is>
      </c>
      <c r="B6" s="9" t="n">
        <v>0.12</v>
      </c>
      <c r="C6" s="24" t="n"/>
      <c r="D6" s="24" t="n"/>
      <c r="E6" s="24" t="n"/>
    </row>
    <row r="8">
      <c r="A8" s="21" t="inlineStr">
        <is>
          <t>INSTRUCTIONS:</t>
        </is>
      </c>
    </row>
    <row r="9">
      <c r="A9" s="25" t="inlineStr">
        <is>
          <t>Update the Monthly Growth rates for Conservative (5%) and Optimistic (12%) scenarios, and the model will recalculate all values in the yellow cells.</t>
        </is>
      </c>
    </row>
    <row r="10"/>
  </sheetData>
  <mergeCells count="1">
    <mergeCell ref="A9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2026-08-29T03:09:46Z</dcterms:created>
  <dcterms:modified xsi:type="dcterms:W3CDTF">2026-08-29T03:09:46Z</dcterms:modified>
</cp:coreProperties>
</file>