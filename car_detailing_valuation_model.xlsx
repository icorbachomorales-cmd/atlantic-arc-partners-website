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Financial Model" sheetId="2" state="visible" r:id="rId2"/>
    <sheet name="Valuation" sheetId="3" state="visible" r:id="rId3"/>
    <sheet name="Scenario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%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70C0"/>
    </font>
    <font>
      <color rgb="00008000"/>
    </font>
    <font>
      <b val="1"/>
      <sz val="12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D3D3D3"/>
        <bgColor rgb="00D3D3D3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FFD966"/>
        <bgColor rgb="00FFD966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1" pivotButton="0" quotePrefix="0" xfId="0"/>
    <xf numFmtId="0" fontId="4" fillId="0" borderId="0" pivotButton="0" quotePrefix="0" xfId="0"/>
    <xf numFmtId="164" fontId="0" fillId="0" borderId="1" pivotButton="0" quotePrefix="0" xfId="0"/>
    <xf numFmtId="3" fontId="3" fillId="0" borderId="1" pivotButton="0" quotePrefix="0" xfId="0"/>
    <xf numFmtId="165" fontId="3" fillId="0" borderId="1" pivotButton="0" quotePrefix="0" xfId="0"/>
    <xf numFmtId="0" fontId="5" fillId="0" borderId="0" pivotButton="0" quotePrefix="0" xfId="0"/>
    <xf numFmtId="0" fontId="6" fillId="3" borderId="0" pivotButton="0" quotePrefix="0" xfId="0"/>
    <xf numFmtId="3" fontId="0" fillId="0" borderId="1" pivotButton="0" quotePrefix="0" xfId="0"/>
    <xf numFmtId="164" fontId="6" fillId="3" borderId="1" pivotButton="0" quotePrefix="0" xfId="0"/>
    <xf numFmtId="164" fontId="6" fillId="0" borderId="1" pivotButton="0" quotePrefix="0" xfId="0"/>
    <xf numFmtId="165" fontId="0" fillId="0" borderId="1" pivotButton="0" quotePrefix="0" xfId="0"/>
    <xf numFmtId="164" fontId="6" fillId="4" borderId="1" pivotButton="0" quotePrefix="0" xfId="0"/>
    <xf numFmtId="0" fontId="2" fillId="2" borderId="1" pivotButton="0" quotePrefix="0" xfId="0"/>
    <xf numFmtId="164" fontId="2" fillId="0" borderId="1" pivotButton="0" quotePrefix="0" xfId="0"/>
    <xf numFmtId="164" fontId="2" fillId="5" borderId="1" pivotButton="0" quotePrefix="0" xfId="0"/>
    <xf numFmtId="164" fontId="4" fillId="0" borderId="1" pivotButton="0" quotePrefix="0" xfId="0"/>
    <xf numFmtId="164" fontId="5" fillId="6" borderId="1" pivotButton="0" quotePrefix="0" xfId="0"/>
    <xf numFmtId="166" fontId="3" fillId="0" borderId="0" pivotButton="0" quotePrefix="0" xfId="0"/>
    <xf numFmtId="0" fontId="2" fillId="0" borderId="0" pivotButton="0" quotePrefix="0" xfId="0"/>
    <xf numFmtId="164" fontId="5" fillId="7" borderId="1" pivotButton="0" quotePrefix="0" xfId="0"/>
    <xf numFmtId="165" fontId="2" fillId="3" borderId="1" pivotButton="0" quotePrefix="0" xfId="0"/>
    <xf numFmtId="164" fontId="2" fillId="3" borderId="1" pivotButton="0" quotePrefix="0" xfId="0"/>
    <xf numFmtId="0" fontId="0" fillId="8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</cols>
  <sheetData>
    <row r="1">
      <c r="A1" s="1" t="inlineStr">
        <is>
          <t>CAR DETAILING STARTUP - ASSUMPTIONS &amp; INPUTS</t>
        </is>
      </c>
    </row>
    <row r="3">
      <c r="A3" s="2" t="inlineStr">
        <is>
          <t>UNIT ECONOMICS - PER-JOB REVENUE</t>
        </is>
      </c>
      <c r="B3" s="2" t="inlineStr">
        <is>
          <t>Value</t>
        </is>
      </c>
    </row>
    <row r="4">
      <c r="A4" s="3" t="inlineStr">
        <is>
          <t>Average Revenue Per Detail (ARPD)</t>
        </is>
      </c>
      <c r="B4" s="4" t="n">
        <v>150</v>
      </c>
    </row>
    <row r="5">
      <c r="A5" s="3" t="inlineStr">
        <is>
          <t>Cost of Materials &amp; Supplies per Job</t>
        </is>
      </c>
      <c r="B5" s="4" t="n">
        <v>25</v>
      </c>
    </row>
    <row r="6">
      <c r="A6" s="3" t="inlineStr">
        <is>
          <t>Labor Cost per Job</t>
        </is>
      </c>
      <c r="B6" s="4" t="n">
        <v>35</v>
      </c>
    </row>
    <row r="7">
      <c r="A7" s="5" t="inlineStr">
        <is>
          <t>Gross Margin per Job</t>
        </is>
      </c>
      <c r="B7" s="6">
        <f>B4-B5-B6</f>
        <v/>
      </c>
    </row>
    <row r="9">
      <c r="A9" s="2" t="inlineStr">
        <is>
          <t>SUBSCRIPTION REVENUE</t>
        </is>
      </c>
      <c r="B9" s="2" t="inlineStr">
        <is>
          <t>Value</t>
        </is>
      </c>
    </row>
    <row r="10">
      <c r="A10" s="3" t="inlineStr">
        <is>
          <t>Monthly Subscription Price (per vehicle)</t>
        </is>
      </c>
      <c r="B10" s="4" t="n">
        <v>39</v>
      </c>
    </row>
    <row r="11">
      <c r="A11" s="3" t="inlineStr">
        <is>
          <t>Year 1: Starting Subscribers</t>
        </is>
      </c>
      <c r="B11" s="7" t="n">
        <v>20</v>
      </c>
    </row>
    <row r="12">
      <c r="A12" s="3" t="inlineStr">
        <is>
          <t>Monthly Subscriber Growth Rate</t>
        </is>
      </c>
      <c r="B12" s="8" t="n">
        <v>0.05</v>
      </c>
    </row>
    <row r="13">
      <c r="A13" s="3" t="inlineStr">
        <is>
          <t>Churn Rate (monthly)</t>
        </is>
      </c>
      <c r="B13" s="8" t="n">
        <v>0.02</v>
      </c>
    </row>
    <row r="15">
      <c r="A15" s="2" t="inlineStr">
        <is>
          <t>GROWTH ASSUMPTIONS (MONTHLY)</t>
        </is>
      </c>
      <c r="B15" s="2" t="inlineStr">
        <is>
          <t>Value</t>
        </is>
      </c>
    </row>
    <row r="16">
      <c r="A16" s="3" t="inlineStr">
        <is>
          <t>Month 1: Jobs per Day</t>
        </is>
      </c>
      <c r="B16" s="7" t="n">
        <v>5</v>
      </c>
    </row>
    <row r="17">
      <c r="A17" s="3" t="inlineStr">
        <is>
          <t>Operating Days per Month</t>
        </is>
      </c>
      <c r="B17" s="7" t="n">
        <v>20</v>
      </c>
    </row>
    <row r="18">
      <c r="A18" s="3" t="inlineStr">
        <is>
          <t>Monthly Job Growth Rate</t>
        </is>
      </c>
      <c r="B18" s="8" t="n">
        <v>0.08</v>
      </c>
    </row>
    <row r="19">
      <c r="A19" s="3" t="inlineStr">
        <is>
          <t>Annual Price Increase %</t>
        </is>
      </c>
      <c r="B19" s="8" t="n">
        <v>0.05</v>
      </c>
    </row>
    <row r="21">
      <c r="A21" s="2" t="inlineStr">
        <is>
          <t>OPERATING COSTS (ANNUAL)</t>
        </is>
      </c>
      <c r="B21" s="2" t="inlineStr">
        <is>
          <t>Value</t>
        </is>
      </c>
    </row>
    <row r="22">
      <c r="A22" s="3" t="inlineStr">
        <is>
          <t>Rent (per location, annual)</t>
        </is>
      </c>
      <c r="B22" s="4" t="n">
        <v>24000</v>
      </c>
    </row>
    <row r="23">
      <c r="A23" s="3" t="inlineStr">
        <is>
          <t>Utilities &amp; Insurance (per location)</t>
        </is>
      </c>
      <c r="B23" s="4" t="n">
        <v>6000</v>
      </c>
    </row>
    <row r="24">
      <c r="A24" s="3" t="inlineStr">
        <is>
          <t>Management Salary (Owner)</t>
        </is>
      </c>
      <c r="B24" s="4" t="n">
        <v>50000</v>
      </c>
    </row>
    <row r="25">
      <c r="A25" s="3" t="inlineStr">
        <is>
          <t>Marketing &amp; Customer Acquisition</t>
        </is>
      </c>
      <c r="B25" s="4" t="n">
        <v>12000</v>
      </c>
    </row>
    <row r="26">
      <c r="A26" s="3" t="inlineStr">
        <is>
          <t>Equipment &amp; Supplies (initial + maintenance)</t>
        </is>
      </c>
      <c r="B26" s="4" t="n">
        <v>8000</v>
      </c>
    </row>
    <row r="28">
      <c r="A28" s="2" t="inlineStr">
        <is>
          <t>FINANCING &amp; DISCOUNT RATE</t>
        </is>
      </c>
      <c r="B28" s="2" t="inlineStr">
        <is>
          <t>Value</t>
        </is>
      </c>
    </row>
    <row r="29">
      <c r="A29" s="3" t="inlineStr">
        <is>
          <t>Initial Capital Required</t>
        </is>
      </c>
      <c r="B29" s="4" t="n">
        <v>50000</v>
      </c>
    </row>
    <row r="30">
      <c r="A30" s="3" t="inlineStr">
        <is>
          <t>DCF Discount Rate (WACC)</t>
        </is>
      </c>
      <c r="B30" s="8" t="n">
        <v>0.1</v>
      </c>
    </row>
    <row r="31">
      <c r="A31" s="3" t="inlineStr">
        <is>
          <t>Terminal Growth Rate</t>
        </is>
      </c>
      <c r="B31" s="8" t="n">
        <v>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5-YEAR FINANCIAL PROJECTIONS</t>
        </is>
      </c>
    </row>
    <row r="3">
      <c r="A3" s="2" t="inlineStr">
        <is>
          <t>Year</t>
        </is>
      </c>
      <c r="B3" s="2" t="inlineStr">
        <is>
          <t>Year 1</t>
        </is>
      </c>
      <c r="C3" s="2" t="inlineStr">
        <is>
          <t>Year 2</t>
        </is>
      </c>
      <c r="D3" s="2" t="inlineStr">
        <is>
          <t>Year 3</t>
        </is>
      </c>
      <c r="E3" s="2" t="inlineStr">
        <is>
          <t>Year 4</t>
        </is>
      </c>
      <c r="F3" s="2" t="inlineStr">
        <is>
          <t>Year 5</t>
        </is>
      </c>
    </row>
    <row r="5">
      <c r="A5" s="10" t="inlineStr">
        <is>
          <t>REVENUE</t>
        </is>
      </c>
    </row>
    <row r="6">
      <c r="A6" t="inlineStr">
        <is>
          <t>Jobs per Day (per location, YE)</t>
        </is>
      </c>
      <c r="B6" s="11">
        <f>Assumptions!$B$16*(1+Assumptions!$B$18)^11</f>
        <v/>
      </c>
      <c r="C6" s="11">
        <f>B6*(1+Assumptions!$B$18)^12</f>
        <v/>
      </c>
      <c r="D6" s="11">
        <f>C6*(1+Assumptions!$B$18)^12</f>
        <v/>
      </c>
      <c r="E6" s="11">
        <f>D6*(1+Assumptions!$B$18)^12</f>
        <v/>
      </c>
      <c r="F6" s="11">
        <f>E6*(1+Assumptions!$B$18)^12</f>
        <v/>
      </c>
    </row>
    <row r="7">
      <c r="A7" t="inlineStr">
        <is>
          <t>Avg Jobs per Day (during year)</t>
        </is>
      </c>
      <c r="B7" s="11">
        <f>(Assumptions!$B$16 + B6) / 2</f>
        <v/>
      </c>
      <c r="C7" s="11">
        <f>(B6 + C6) / 2</f>
        <v/>
      </c>
      <c r="D7" s="11">
        <f>(C6 + D6) / 2</f>
        <v/>
      </c>
      <c r="E7" s="11">
        <f>(D6 + E6) / 2</f>
        <v/>
      </c>
      <c r="F7" s="11">
        <f>(E6 + F6) / 2</f>
        <v/>
      </c>
    </row>
    <row r="8">
      <c r="A8" t="inlineStr">
        <is>
          <t>Operating Days per Year</t>
        </is>
      </c>
      <c r="B8" s="11">
        <f>$B$8</f>
        <v/>
      </c>
      <c r="C8" s="11">
        <f>$B$8</f>
        <v/>
      </c>
      <c r="D8" s="11">
        <f>$B$8</f>
        <v/>
      </c>
      <c r="E8" s="11">
        <f>$B$8</f>
        <v/>
      </c>
      <c r="F8" s="11">
        <f>$B$8</f>
        <v/>
      </c>
    </row>
    <row r="9">
      <c r="A9" t="inlineStr">
        <is>
          <t>Total Jobs per Year</t>
        </is>
      </c>
      <c r="B9" s="11">
        <f>B7*B8</f>
        <v/>
      </c>
      <c r="C9" s="11">
        <f>C7*C8</f>
        <v/>
      </c>
      <c r="D9" s="11">
        <f>D7*D8</f>
        <v/>
      </c>
      <c r="E9" s="11">
        <f>E7*E8</f>
        <v/>
      </c>
      <c r="F9" s="11">
        <f>F7*F8</f>
        <v/>
      </c>
    </row>
    <row r="10">
      <c r="A10" t="inlineStr">
        <is>
          <t>ARPD</t>
        </is>
      </c>
      <c r="B10" s="6">
        <f>Assumptions!$B$4</f>
        <v/>
      </c>
      <c r="C10" s="6">
        <f>B10*(1+Assumptions!$B$19)</f>
        <v/>
      </c>
      <c r="D10" s="6">
        <f>C10*(1+Assumptions!$B$19)</f>
        <v/>
      </c>
      <c r="E10" s="6">
        <f>D10*(1+Assumptions!$B$19)</f>
        <v/>
      </c>
      <c r="F10" s="6">
        <f>E10*(1+Assumptions!$B$19)</f>
        <v/>
      </c>
    </row>
    <row r="11">
      <c r="A11" t="inlineStr">
        <is>
          <t>Per-Job Revenue</t>
        </is>
      </c>
      <c r="B11" s="6">
        <f>B9*B10</f>
        <v/>
      </c>
      <c r="C11" s="6">
        <f>C9*C10</f>
        <v/>
      </c>
      <c r="D11" s="6">
        <f>D9*D10</f>
        <v/>
      </c>
      <c r="E11" s="6">
        <f>E9*E10</f>
        <v/>
      </c>
      <c r="F11" s="6">
        <f>F9*F10</f>
        <v/>
      </c>
    </row>
    <row r="13">
      <c r="A13" t="inlineStr">
        <is>
          <t>Subscribers (YE)</t>
        </is>
      </c>
      <c r="B13" s="11">
        <f>Assumptions!$B$11*(1+Assumptions!$B$12)^11*(1-Assumptions!$B$13)^11</f>
        <v/>
      </c>
      <c r="C13" s="11">
        <f>B13*(1+Assumptions!$B$12)^12*(1-Assumptions!$B$13)^12</f>
        <v/>
      </c>
      <c r="D13" s="11">
        <f>C13*(1+Assumptions!$B$12)^12*(1-Assumptions!$B$13)^12</f>
        <v/>
      </c>
      <c r="E13" s="11">
        <f>D13*(1+Assumptions!$B$12)^12*(1-Assumptions!$B$13)^12</f>
        <v/>
      </c>
      <c r="F13" s="11">
        <f>E13*(1+Assumptions!$B$12)^12*(1-Assumptions!$B$13)^12</f>
        <v/>
      </c>
    </row>
    <row r="14">
      <c r="A14" t="inlineStr">
        <is>
          <t>Avg Subscribers (during year)</t>
        </is>
      </c>
      <c r="B14" s="11">
        <f>(Assumptions!$B$11 + B13) / 2</f>
        <v/>
      </c>
      <c r="C14" s="11">
        <f>(B13 + C13) / 2</f>
        <v/>
      </c>
      <c r="D14" s="11">
        <f>(C13 + D13) / 2</f>
        <v/>
      </c>
      <c r="E14" s="11">
        <f>(D13 + E13) / 2</f>
        <v/>
      </c>
      <c r="F14" s="11">
        <f>(E13 + F13) / 2</f>
        <v/>
      </c>
    </row>
    <row r="15">
      <c r="A15" t="inlineStr">
        <is>
          <t>Monthly Subscription Price</t>
        </is>
      </c>
      <c r="B15" s="6">
        <f>Assumptions!$B$10</f>
        <v/>
      </c>
      <c r="C15" s="6">
        <f>B15*(1+Assumptions!$B$19)</f>
        <v/>
      </c>
      <c r="D15" s="6">
        <f>C15*(1+Assumptions!$B$19)</f>
        <v/>
      </c>
      <c r="E15" s="6">
        <f>D15*(1+Assumptions!$B$19)</f>
        <v/>
      </c>
      <c r="F15" s="6">
        <f>E15*(1+Assumptions!$B$19)</f>
        <v/>
      </c>
    </row>
    <row r="16">
      <c r="A16" t="inlineStr">
        <is>
          <t>Subscription Revenue (Annual)</t>
        </is>
      </c>
      <c r="B16" s="6">
        <f>B14*B15*12</f>
        <v/>
      </c>
      <c r="C16" s="6">
        <f>C14*C15*12</f>
        <v/>
      </c>
      <c r="D16" s="6">
        <f>D14*D15*12</f>
        <v/>
      </c>
      <c r="E16" s="6">
        <f>E14*E15*12</f>
        <v/>
      </c>
      <c r="F16" s="6">
        <f>F14*F15*12</f>
        <v/>
      </c>
    </row>
    <row r="18">
      <c r="A18" t="inlineStr">
        <is>
          <t>TOTAL REVENUE</t>
        </is>
      </c>
      <c r="B18" s="12">
        <f>B11+B16</f>
        <v/>
      </c>
      <c r="C18" s="12">
        <f>C11+C16</f>
        <v/>
      </c>
      <c r="D18" s="12">
        <f>D11+D16</f>
        <v/>
      </c>
      <c r="E18" s="12">
        <f>E11+E16</f>
        <v/>
      </c>
      <c r="F18" s="12">
        <f>F11+F16</f>
        <v/>
      </c>
    </row>
    <row r="20">
      <c r="A20" s="10" t="inlineStr">
        <is>
          <t>COSTS OF GOODS SOLD</t>
        </is>
      </c>
    </row>
    <row r="21">
      <c r="A21" t="inlineStr">
        <is>
          <t>Materials &amp; Supplies Cost</t>
        </is>
      </c>
      <c r="B21" s="6">
        <f>B9*Assumptions!$B$5</f>
        <v/>
      </c>
      <c r="C21" s="6">
        <f>C9*Assumptions!$B$5</f>
        <v/>
      </c>
      <c r="D21" s="6">
        <f>D9*Assumptions!$B$5</f>
        <v/>
      </c>
      <c r="E21" s="6">
        <f>E9*Assumptions!$B$5</f>
        <v/>
      </c>
      <c r="F21" s="6">
        <f>F9*Assumptions!$B$5</f>
        <v/>
      </c>
    </row>
    <row r="22">
      <c r="A22" t="inlineStr">
        <is>
          <t>Labor Cost</t>
        </is>
      </c>
      <c r="B22" s="6">
        <f>B9*Assumptions!$B$6</f>
        <v/>
      </c>
      <c r="C22" s="6">
        <f>C9*Assumptions!$B$6</f>
        <v/>
      </c>
      <c r="D22" s="6">
        <f>D9*Assumptions!$B$6</f>
        <v/>
      </c>
      <c r="E22" s="6">
        <f>E9*Assumptions!$B$6</f>
        <v/>
      </c>
      <c r="F22" s="6">
        <f>F9*Assumptions!$B$6</f>
        <v/>
      </c>
    </row>
    <row r="23">
      <c r="A23" t="inlineStr">
        <is>
          <t>Total COGS</t>
        </is>
      </c>
      <c r="B23" s="13">
        <f>B21+B22</f>
        <v/>
      </c>
      <c r="C23" s="13">
        <f>C21+C22</f>
        <v/>
      </c>
      <c r="D23" s="13">
        <f>D21+D22</f>
        <v/>
      </c>
      <c r="E23" s="13">
        <f>E21+E22</f>
        <v/>
      </c>
      <c r="F23" s="13">
        <f>F21+F22</f>
        <v/>
      </c>
    </row>
    <row r="25">
      <c r="A25" t="inlineStr">
        <is>
          <t>Gross Profit</t>
        </is>
      </c>
      <c r="B25" s="6">
        <f>B18-B23</f>
        <v/>
      </c>
      <c r="C25" s="6">
        <f>C18-C23</f>
        <v/>
      </c>
      <c r="D25" s="6">
        <f>D18-D23</f>
        <v/>
      </c>
      <c r="E25" s="6">
        <f>E18-E23</f>
        <v/>
      </c>
      <c r="F25" s="6">
        <f>F18-F23</f>
        <v/>
      </c>
    </row>
    <row r="26">
      <c r="A26" t="inlineStr">
        <is>
          <t>Gross Margin %</t>
        </is>
      </c>
      <c r="B26" s="14">
        <f>B25/B18</f>
        <v/>
      </c>
      <c r="C26" s="14">
        <f>C25/C18</f>
        <v/>
      </c>
      <c r="D26" s="14">
        <f>D25/D18</f>
        <v/>
      </c>
      <c r="E26" s="14">
        <f>E25/E18</f>
        <v/>
      </c>
      <c r="F26" s="14">
        <f>F25/F18</f>
        <v/>
      </c>
    </row>
    <row r="28">
      <c r="A28" s="10" t="inlineStr">
        <is>
          <t>OPERATING EXPENSES</t>
        </is>
      </c>
    </row>
    <row r="29">
      <c r="A29" t="inlineStr">
        <is>
          <t>Rent</t>
        </is>
      </c>
      <c r="B29" s="6">
        <f>Assumptions!$B$22</f>
        <v/>
      </c>
      <c r="C29" s="6">
        <f>Assumptions!$B$22</f>
        <v/>
      </c>
      <c r="D29" s="6">
        <f>Assumptions!$B$22</f>
        <v/>
      </c>
      <c r="E29" s="6">
        <f>Assumptions!$B$22</f>
        <v/>
      </c>
      <c r="F29" s="6">
        <f>Assumptions!$B$22</f>
        <v/>
      </c>
    </row>
    <row r="30">
      <c r="A30" t="inlineStr">
        <is>
          <t>Utilities &amp; Insurance</t>
        </is>
      </c>
      <c r="B30" s="6">
        <f>Assumptions!$B$23</f>
        <v/>
      </c>
      <c r="C30" s="6">
        <f>Assumptions!$B$23</f>
        <v/>
      </c>
      <c r="D30" s="6">
        <f>Assumptions!$B$23</f>
        <v/>
      </c>
      <c r="E30" s="6">
        <f>Assumptions!$B$23</f>
        <v/>
      </c>
      <c r="F30" s="6">
        <f>Assumptions!$B$23</f>
        <v/>
      </c>
    </row>
    <row r="31">
      <c r="A31" t="inlineStr">
        <is>
          <t>Management Salary</t>
        </is>
      </c>
      <c r="B31" s="6">
        <f>Assumptions!$B$24</f>
        <v/>
      </c>
      <c r="C31" s="6">
        <f>Assumptions!$B$24</f>
        <v/>
      </c>
      <c r="D31" s="6">
        <f>Assumptions!$B$24</f>
        <v/>
      </c>
      <c r="E31" s="6">
        <f>Assumptions!$B$24</f>
        <v/>
      </c>
      <c r="F31" s="6">
        <f>Assumptions!$B$24</f>
        <v/>
      </c>
    </row>
    <row r="32">
      <c r="A32" t="inlineStr">
        <is>
          <t>Marketing &amp; Customer Acquisition</t>
        </is>
      </c>
      <c r="B32" s="6">
        <f>Assumptions!$B$25</f>
        <v/>
      </c>
      <c r="C32" s="6">
        <f>Assumptions!$B$25</f>
        <v/>
      </c>
      <c r="D32" s="6">
        <f>Assumptions!$B$25</f>
        <v/>
      </c>
      <c r="E32" s="6">
        <f>Assumptions!$B$25</f>
        <v/>
      </c>
      <c r="F32" s="6">
        <f>Assumptions!$B$25</f>
        <v/>
      </c>
    </row>
    <row r="33">
      <c r="A33" t="inlineStr">
        <is>
          <t>Equipment &amp; Supplies</t>
        </is>
      </c>
      <c r="B33" s="6">
        <f>Assumptions!$B$26</f>
        <v/>
      </c>
      <c r="C33" s="6">
        <f>Assumptions!$B$26</f>
        <v/>
      </c>
      <c r="D33" s="6">
        <f>Assumptions!$B$26</f>
        <v/>
      </c>
      <c r="E33" s="6">
        <f>Assumptions!$B$26</f>
        <v/>
      </c>
      <c r="F33" s="6">
        <f>Assumptions!$B$26</f>
        <v/>
      </c>
    </row>
    <row r="34">
      <c r="A34" t="inlineStr">
        <is>
          <t>Total Operating Expenses</t>
        </is>
      </c>
      <c r="B34" s="13">
        <f>B29+B30+B31+B32+B33</f>
        <v/>
      </c>
      <c r="C34" s="13">
        <f>C29+C30+C31+C32+C33</f>
        <v/>
      </c>
      <c r="D34" s="13">
        <f>D29+D30+D31+D32+D33</f>
        <v/>
      </c>
      <c r="E34" s="13">
        <f>E29+E30+E31+E32+E33</f>
        <v/>
      </c>
      <c r="F34" s="13">
        <f>F29+F30+F31+F32+F33</f>
        <v/>
      </c>
    </row>
    <row r="36">
      <c r="A36" t="inlineStr">
        <is>
          <t>EBITDA</t>
        </is>
      </c>
      <c r="B36" s="15">
        <f>B25-B34</f>
        <v/>
      </c>
      <c r="C36" s="15">
        <f>C25-C34</f>
        <v/>
      </c>
      <c r="D36" s="15">
        <f>D25-D34</f>
        <v/>
      </c>
      <c r="E36" s="15">
        <f>E25-E34</f>
        <v/>
      </c>
      <c r="F36" s="15">
        <f>F25-F34</f>
        <v/>
      </c>
    </row>
    <row r="37">
      <c r="A37" t="inlineStr">
        <is>
          <t>EBITDA Margin %</t>
        </is>
      </c>
      <c r="B37" s="14">
        <f>B36/B18</f>
        <v/>
      </c>
      <c r="C37" s="14">
        <f>C36/C18</f>
        <v/>
      </c>
      <c r="D37" s="14">
        <f>D36/D18</f>
        <v/>
      </c>
      <c r="E37" s="14">
        <f>E36/E18</f>
        <v/>
      </c>
      <c r="F37" s="14">
        <f>F36/F18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</cols>
  <sheetData>
    <row r="1">
      <c r="A1" s="9" t="inlineStr">
        <is>
          <t>ENTERPRISE VALUATION</t>
        </is>
      </c>
    </row>
    <row r="3">
      <c r="A3" s="2" t="inlineStr">
        <is>
          <t>DISCOUNTED CASH FLOW (DCF)</t>
        </is>
      </c>
      <c r="B3" s="2" t="inlineStr"/>
    </row>
    <row r="5">
      <c r="A5" t="inlineStr">
        <is>
          <t>Year</t>
        </is>
      </c>
      <c r="B5" s="16" t="inlineStr">
        <is>
          <t>1</t>
        </is>
      </c>
      <c r="C5" s="16" t="inlineStr">
        <is>
          <t>2</t>
        </is>
      </c>
      <c r="D5" s="16" t="inlineStr">
        <is>
          <t>3</t>
        </is>
      </c>
      <c r="E5" s="16" t="inlineStr">
        <is>
          <t>4</t>
        </is>
      </c>
      <c r="F5" s="16" t="inlineStr">
        <is>
          <t>5</t>
        </is>
      </c>
    </row>
    <row r="6">
      <c r="A6" t="inlineStr">
        <is>
          <t>EBITDA</t>
        </is>
      </c>
      <c r="B6" s="6">
        <f>'Financial Model'!B36</f>
        <v/>
      </c>
      <c r="C6" s="6">
        <f>'Financial Model'!C36</f>
        <v/>
      </c>
      <c r="D6" s="6">
        <f>'Financial Model'!D36</f>
        <v/>
      </c>
      <c r="E6" s="6">
        <f>'Financial Model'!E36</f>
        <v/>
      </c>
      <c r="F6" s="6">
        <f>'Financial Model'!F36</f>
        <v/>
      </c>
    </row>
    <row r="7">
      <c r="A7" t="inlineStr">
        <is>
          <t>Less: Taxes (25%)</t>
        </is>
      </c>
      <c r="B7" s="6">
        <f>B6*0.25</f>
        <v/>
      </c>
      <c r="C7" s="6">
        <f>C6*0.25</f>
        <v/>
      </c>
      <c r="D7" s="6">
        <f>D6*0.25</f>
        <v/>
      </c>
      <c r="E7" s="6">
        <f>E6*0.25</f>
        <v/>
      </c>
      <c r="F7" s="6">
        <f>F6*0.25</f>
        <v/>
      </c>
    </row>
    <row r="8">
      <c r="A8" t="inlineStr">
        <is>
          <t>NOPAT (Net Operating Profit)</t>
        </is>
      </c>
      <c r="B8" s="17">
        <f>B6-B7</f>
        <v/>
      </c>
      <c r="C8" s="17">
        <f>C6-C7</f>
        <v/>
      </c>
      <c r="D8" s="17">
        <f>D6-D7</f>
        <v/>
      </c>
      <c r="E8" s="17">
        <f>E6-E7</f>
        <v/>
      </c>
      <c r="F8" s="17">
        <f>F6-F7</f>
        <v/>
      </c>
    </row>
    <row r="9">
      <c r="A9" t="inlineStr">
        <is>
          <t>Discount Factor</t>
        </is>
      </c>
      <c r="B9" s="14">
        <f>1/(1+Assumptions!$B$30)^1</f>
        <v/>
      </c>
      <c r="C9" s="14">
        <f>1/(1+Assumptions!$B$30)^2</f>
        <v/>
      </c>
      <c r="D9" s="14">
        <f>1/(1+Assumptions!$B$30)^3</f>
        <v/>
      </c>
      <c r="E9" s="14">
        <f>1/(1+Assumptions!$B$30)^4</f>
        <v/>
      </c>
      <c r="F9" s="14">
        <f>1/(1+Assumptions!$B$30)^5</f>
        <v/>
      </c>
    </row>
    <row r="10">
      <c r="A10" t="inlineStr">
        <is>
          <t>PV of Cash Flows</t>
        </is>
      </c>
      <c r="B10" s="17">
        <f>B8*B9</f>
        <v/>
      </c>
      <c r="C10" s="17">
        <f>C8*C9</f>
        <v/>
      </c>
      <c r="D10" s="17">
        <f>D8*D9</f>
        <v/>
      </c>
      <c r="E10" s="17">
        <f>E8*E9</f>
        <v/>
      </c>
      <c r="F10" s="17">
        <f>F8*F9</f>
        <v/>
      </c>
    </row>
    <row r="12">
      <c r="A12" t="inlineStr">
        <is>
          <t>Sum of PV (5 Years)</t>
        </is>
      </c>
      <c r="B12" s="18">
        <f>SUM(B10:F10)</f>
        <v/>
      </c>
    </row>
    <row r="13">
      <c r="A13" t="inlineStr">
        <is>
          <t>Terminal Value (NOPAT Year 5 * 8x EBITDA multiple)</t>
        </is>
      </c>
      <c r="B13" s="19">
        <f>F8*8</f>
        <v/>
      </c>
    </row>
    <row r="14">
      <c r="A14" t="inlineStr">
        <is>
          <t>PV of Terminal Value</t>
        </is>
      </c>
      <c r="B14" s="18">
        <f>B13*F9</f>
        <v/>
      </c>
    </row>
    <row r="16">
      <c r="A16" t="inlineStr">
        <is>
          <t>ENTERPRISE VALUE (DCF)</t>
        </is>
      </c>
      <c r="B16" s="20">
        <f>B12+B14</f>
        <v/>
      </c>
    </row>
    <row r="19">
      <c r="A19" s="2" t="inlineStr">
        <is>
          <t>MULTIPLE-BASED VALUATION</t>
        </is>
      </c>
      <c r="B19" s="2" t="inlineStr">
        <is>
          <t>Value</t>
        </is>
      </c>
    </row>
    <row r="20">
      <c r="A20" t="inlineStr">
        <is>
          <t>Year 5 Revenue</t>
        </is>
      </c>
      <c r="B20" s="6">
        <f>'Financial Model'!F18</f>
        <v/>
      </c>
    </row>
    <row r="21">
      <c r="A21" t="inlineStr">
        <is>
          <t>Revenue Multiple (3.5x)</t>
        </is>
      </c>
      <c r="B21" s="21" t="n">
        <v>3.5</v>
      </c>
    </row>
    <row r="22">
      <c r="A22" t="inlineStr">
        <is>
          <t>Valuation @ Revenue Multiple</t>
        </is>
      </c>
      <c r="B22" s="6">
        <f>B20*B21</f>
        <v/>
      </c>
    </row>
    <row r="24">
      <c r="A24" t="inlineStr">
        <is>
          <t>Year 5 EBITDA</t>
        </is>
      </c>
      <c r="B24" s="6">
        <f>'Financial Model'!F36</f>
        <v/>
      </c>
    </row>
    <row r="25">
      <c r="A25" t="inlineStr">
        <is>
          <t>EBITDA Multiple (6.0x)</t>
        </is>
      </c>
      <c r="B25" s="21" t="n">
        <v>6</v>
      </c>
    </row>
    <row r="26">
      <c r="A26" t="inlineStr">
        <is>
          <t>Valuation @ EBITDA Multiple</t>
        </is>
      </c>
      <c r="B26" s="6">
        <f>B24*B25</f>
        <v/>
      </c>
    </row>
    <row r="28">
      <c r="A28" s="22" t="inlineStr">
        <is>
          <t>VALUATION SUMMARY</t>
        </is>
      </c>
      <c r="B28" s="22" t="n"/>
    </row>
    <row r="29">
      <c r="A29" t="inlineStr">
        <is>
          <t>DCF Valuation</t>
        </is>
      </c>
      <c r="B29" s="17">
        <f>B16</f>
        <v/>
      </c>
    </row>
    <row r="30">
      <c r="A30" t="inlineStr">
        <is>
          <t>Revenue Multiple Valuation</t>
        </is>
      </c>
      <c r="B30" s="6">
        <f>B22</f>
        <v/>
      </c>
    </row>
    <row r="31">
      <c r="A31" t="inlineStr">
        <is>
          <t>EBITDA Multiple Valuation</t>
        </is>
      </c>
      <c r="B31" s="6">
        <f>B26</f>
        <v/>
      </c>
    </row>
    <row r="32">
      <c r="A32" t="inlineStr">
        <is>
          <t>Average Valuation</t>
        </is>
      </c>
      <c r="B32" s="23">
        <f>AVERAGE(B29:B31)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9" t="inlineStr">
        <is>
          <t>SCENARIO ANALYSIS - YEAR 5 PERFORMANCE</t>
        </is>
      </c>
    </row>
    <row r="3">
      <c r="A3" s="2" t="inlineStr">
        <is>
          <t>Scenario</t>
        </is>
      </c>
      <c r="B3" s="2" t="inlineStr">
        <is>
          <t>Monthly Growth</t>
        </is>
      </c>
      <c r="C3" s="2" t="inlineStr">
        <is>
          <t>Year 5 Revenue</t>
        </is>
      </c>
      <c r="D3" s="2" t="inlineStr">
        <is>
          <t>Year 5 EBITDA</t>
        </is>
      </c>
      <c r="E3" s="2" t="inlineStr">
        <is>
          <t>EBITDA Margin</t>
        </is>
      </c>
    </row>
    <row r="4">
      <c r="A4" t="inlineStr">
        <is>
          <t>BASE CASE</t>
        </is>
      </c>
      <c r="B4" s="24">
        <f>Assumptions!$B$18</f>
        <v/>
      </c>
      <c r="C4" s="25">
        <f>'Financial Model'!F18</f>
        <v/>
      </c>
      <c r="D4" s="25">
        <f>'Financial Model'!F36</f>
        <v/>
      </c>
      <c r="E4" s="24">
        <f>'Financial Model'!F37</f>
        <v/>
      </c>
    </row>
    <row r="5">
      <c r="A5" s="3" t="inlineStr">
        <is>
          <t>CONSERVATIVE</t>
        </is>
      </c>
      <c r="B5" s="8" t="n">
        <v>0.05</v>
      </c>
      <c r="C5" s="26" t="n"/>
      <c r="D5" s="26" t="n"/>
      <c r="E5" s="26" t="n"/>
    </row>
    <row r="6">
      <c r="A6" s="3" t="inlineStr">
        <is>
          <t>OPTIMISTIC</t>
        </is>
      </c>
      <c r="B6" s="8" t="n">
        <v>0.12</v>
      </c>
      <c r="C6" s="26" t="n"/>
      <c r="D6" s="26" t="n"/>
      <c r="E6" s="26" t="n"/>
    </row>
    <row r="8">
      <c r="A8" s="22" t="inlineStr">
        <is>
          <t>INSTRUCTIONS:</t>
        </is>
      </c>
    </row>
    <row r="9">
      <c r="A9" s="27" t="inlineStr">
        <is>
          <t>Update the Monthly Growth rates for Conservative (5%) and Optimistic (12%) scenarios, and the model will recalculate all values in the yellow cells.</t>
        </is>
      </c>
    </row>
    <row r="10"/>
  </sheetData>
  <mergeCells count="1">
    <mergeCell ref="A9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2026-08-29T03:23:06Z</dcterms:created>
  <dcterms:modified xsi:type="dcterms:W3CDTF">2026-08-29T03:23:06Z</dcterms:modified>
</cp:coreProperties>
</file>